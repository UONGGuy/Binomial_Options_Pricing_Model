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999c194a8eb9e8/Documents/Coding_Projects/finance/options/BOPM/"/>
    </mc:Choice>
  </mc:AlternateContent>
  <xr:revisionPtr revIDLastSave="1" documentId="8_{A0315452-93BE-4A3E-8222-88225CF35405}" xr6:coauthVersionLast="47" xr6:coauthVersionMax="47" xr10:uidLastSave="{7B38A992-BFFF-49F0-844E-ABC89D5B0E11}"/>
  <bookViews>
    <workbookView xWindow="10718" yWindow="0" windowWidth="10965" windowHeight="13763" activeTab="1" xr2:uid="{8A3ED321-0068-45E9-BB41-AF23282F4922}"/>
  </bookViews>
  <sheets>
    <sheet name="EU Call" sheetId="1" r:id="rId1"/>
    <sheet name="EU Put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15" i="2" s="1"/>
  <c r="B16" i="2" s="1"/>
  <c r="B17" i="2" s="1"/>
  <c r="E5" i="2"/>
  <c r="B14" i="1"/>
  <c r="E5" i="1"/>
  <c r="F6" i="2" l="1"/>
  <c r="G7" i="2" s="1"/>
  <c r="F5" i="2"/>
  <c r="B12" i="2" s="1"/>
  <c r="B15" i="1"/>
  <c r="B16" i="1" s="1"/>
  <c r="F5" i="1"/>
  <c r="G6" i="2" l="1"/>
  <c r="H6" i="2" s="1"/>
  <c r="I6" i="2" s="1"/>
  <c r="J6" i="2" s="1"/>
  <c r="H8" i="2"/>
  <c r="H7" i="2"/>
  <c r="I7" i="2" s="1"/>
  <c r="J7" i="2" s="1"/>
  <c r="G5" i="2"/>
  <c r="H5" i="2" s="1"/>
  <c r="I5" i="2" s="1"/>
  <c r="J5" i="2" s="1"/>
  <c r="G5" i="1"/>
  <c r="H5" i="1" s="1"/>
  <c r="I5" i="1" s="1"/>
  <c r="J5" i="1" s="1"/>
  <c r="F6" i="1"/>
  <c r="I8" i="2" l="1"/>
  <c r="J8" i="2" s="1"/>
  <c r="I9" i="2"/>
  <c r="B17" i="1"/>
  <c r="B12" i="1" s="1"/>
  <c r="G7" i="1"/>
  <c r="G6" i="1"/>
  <c r="H6" i="1" s="1"/>
  <c r="I6" i="1" s="1"/>
  <c r="J6" i="1" s="1"/>
  <c r="J10" i="2" l="1"/>
  <c r="J9" i="2"/>
  <c r="H8" i="1"/>
  <c r="H7" i="1"/>
  <c r="I7" i="1" s="1"/>
  <c r="J7" i="1" s="1"/>
  <c r="I9" i="1" l="1"/>
  <c r="I8" i="1"/>
  <c r="J8" i="1" s="1"/>
  <c r="J10" i="1" l="1"/>
  <c r="J9" i="1"/>
</calcChain>
</file>

<file path=xl/sharedStrings.xml><?xml version="1.0" encoding="utf-8"?>
<sst xmlns="http://schemas.openxmlformats.org/spreadsheetml/2006/main" count="28" uniqueCount="14">
  <si>
    <t>Spot</t>
  </si>
  <si>
    <t>Strike</t>
  </si>
  <si>
    <t>Interest</t>
  </si>
  <si>
    <t>T_expiry</t>
  </si>
  <si>
    <t>Dividend</t>
  </si>
  <si>
    <t>UpFactor</t>
  </si>
  <si>
    <t>DownFactor</t>
  </si>
  <si>
    <t>UpProb</t>
  </si>
  <si>
    <t>DownProb</t>
  </si>
  <si>
    <t>Volatility</t>
  </si>
  <si>
    <t>N_steps</t>
  </si>
  <si>
    <t>BinOptPrice</t>
  </si>
  <si>
    <t>Bin Model</t>
  </si>
  <si>
    <t>Opt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</si>
</sst>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3B887-BE70-44C6-80D6-5E386A582F49}">
  <dimension ref="A2:J17"/>
  <sheetViews>
    <sheetView workbookViewId="0">
      <selection activeCell="B11" sqref="B11"/>
    </sheetView>
  </sheetViews>
  <sheetFormatPr defaultRowHeight="14.25" x14ac:dyDescent="0.45"/>
  <cols>
    <col min="1" max="1" width="10.265625" bestFit="1" customWidth="1"/>
    <col min="2" max="2" width="6.86328125" style="1" customWidth="1"/>
    <col min="3" max="3" width="1.73046875" customWidth="1"/>
  </cols>
  <sheetData>
    <row r="2" spans="1:10" x14ac:dyDescent="0.45">
      <c r="D2" t="s">
        <v>12</v>
      </c>
    </row>
    <row r="3" spans="1:10" x14ac:dyDescent="0.45">
      <c r="A3" t="s">
        <v>10</v>
      </c>
      <c r="B3" s="1">
        <v>1</v>
      </c>
      <c r="E3">
        <v>0</v>
      </c>
      <c r="F3">
        <v>1</v>
      </c>
      <c r="G3">
        <v>2</v>
      </c>
      <c r="H3">
        <v>3</v>
      </c>
      <c r="I3">
        <v>4</v>
      </c>
      <c r="J3">
        <v>5</v>
      </c>
    </row>
    <row r="5" spans="1:10" x14ac:dyDescent="0.45">
      <c r="A5" t="s">
        <v>0</v>
      </c>
      <c r="B5" s="1">
        <v>50</v>
      </c>
      <c r="E5">
        <f>B5</f>
        <v>50</v>
      </c>
      <c r="F5">
        <f>E5*$B$14</f>
        <v>81.615810997768946</v>
      </c>
      <c r="G5">
        <f>F5*$B$14</f>
        <v>133.22281209647085</v>
      </c>
      <c r="H5">
        <f>G5*$B$14</f>
        <v>217.46175705313701</v>
      </c>
      <c r="I5">
        <f>H5*$B$14</f>
        <v>354.96635325783154</v>
      </c>
      <c r="J5">
        <f>I5*$B$14</f>
        <v>579.41733596116933</v>
      </c>
    </row>
    <row r="6" spans="1:10" x14ac:dyDescent="0.45">
      <c r="A6" t="s">
        <v>1</v>
      </c>
      <c r="B6" s="1">
        <v>56</v>
      </c>
      <c r="F6">
        <f>E5*$B$15</f>
        <v>30.631319709220804</v>
      </c>
      <c r="G6">
        <f>F6*$B$14</f>
        <v>50</v>
      </c>
      <c r="H6">
        <f>G6*$B$14</f>
        <v>81.615810997768946</v>
      </c>
      <c r="I6">
        <f>H6*$B$14</f>
        <v>133.22281209647085</v>
      </c>
      <c r="J6">
        <f>I6*$B$14</f>
        <v>217.46175705313701</v>
      </c>
    </row>
    <row r="7" spans="1:10" x14ac:dyDescent="0.45">
      <c r="A7" t="s">
        <v>3</v>
      </c>
      <c r="B7" s="1">
        <v>1</v>
      </c>
      <c r="G7">
        <f>F6*$B$15</f>
        <v>18.765554942569977</v>
      </c>
      <c r="H7">
        <f>G7*$B$14</f>
        <v>30.631319709220804</v>
      </c>
      <c r="I7">
        <f t="shared" ref="I7:J7" si="0">H7*$B$14</f>
        <v>50</v>
      </c>
      <c r="J7">
        <f t="shared" si="0"/>
        <v>81.615810997768946</v>
      </c>
    </row>
    <row r="8" spans="1:10" x14ac:dyDescent="0.45">
      <c r="A8" t="s">
        <v>2</v>
      </c>
      <c r="B8" s="1">
        <v>0.01</v>
      </c>
      <c r="H8">
        <f>G7*$B$15</f>
        <v>11.496274259336193</v>
      </c>
      <c r="I8">
        <f>H8*$B$14</f>
        <v>18.765554942569977</v>
      </c>
      <c r="J8">
        <f t="shared" ref="J8" si="1">I8*$B$14</f>
        <v>30.631319709220804</v>
      </c>
    </row>
    <row r="9" spans="1:10" x14ac:dyDescent="0.45">
      <c r="A9" t="s">
        <v>4</v>
      </c>
      <c r="B9" s="1">
        <v>0</v>
      </c>
      <c r="I9">
        <f>H8*$B$15</f>
        <v>7.0429210460522507</v>
      </c>
      <c r="J9">
        <f>I9*$B$14</f>
        <v>11.496274259336193</v>
      </c>
    </row>
    <row r="10" spans="1:10" x14ac:dyDescent="0.45">
      <c r="A10" t="s">
        <v>9</v>
      </c>
      <c r="B10" s="1">
        <v>0.49</v>
      </c>
      <c r="J10">
        <f>I9*$B$15</f>
        <v>4.3146793249685267</v>
      </c>
    </row>
    <row r="12" spans="1:10" x14ac:dyDescent="0.45">
      <c r="A12" t="s">
        <v>11</v>
      </c>
      <c r="B12" s="1">
        <f>(MAX(F5-B6,0)*B16 + MAX(F6-B6, 0)*B17) / (1+B8)</f>
        <v>9.8849048299188169</v>
      </c>
      <c r="D12" t="s">
        <v>13</v>
      </c>
    </row>
    <row r="14" spans="1:10" x14ac:dyDescent="0.45">
      <c r="A14" t="s">
        <v>5</v>
      </c>
      <c r="B14" s="1">
        <f>EXP(B10*(SQRT(B7/B3)))</f>
        <v>1.6323162199553789</v>
      </c>
    </row>
    <row r="15" spans="1:10" x14ac:dyDescent="0.45">
      <c r="A15" t="s">
        <v>6</v>
      </c>
      <c r="B15" s="1">
        <f xml:space="preserve"> 1/B14</f>
        <v>0.61262639418441611</v>
      </c>
    </row>
    <row r="16" spans="1:10" x14ac:dyDescent="0.45">
      <c r="A16" t="s">
        <v>7</v>
      </c>
      <c r="B16" s="1">
        <f>(EXP((B8-B9) * (B7/B3)) - B15) / (B14-B15)</f>
        <v>0.38974966980696246</v>
      </c>
    </row>
    <row r="17" spans="1:2" x14ac:dyDescent="0.45">
      <c r="A17" t="s">
        <v>8</v>
      </c>
      <c r="B17" s="1">
        <f>1 - B16</f>
        <v>0.61025033019303754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E3765-232A-4F81-A9E2-B989BF34B2FF}">
  <dimension ref="A2:J17"/>
  <sheetViews>
    <sheetView tabSelected="1" workbookViewId="0">
      <selection activeCell="B7" sqref="B7"/>
    </sheetView>
  </sheetViews>
  <sheetFormatPr defaultRowHeight="14.25" x14ac:dyDescent="0.45"/>
  <cols>
    <col min="1" max="1" width="10.265625" bestFit="1" customWidth="1"/>
    <col min="2" max="2" width="6.86328125" style="1" customWidth="1"/>
    <col min="3" max="3" width="1.73046875" customWidth="1"/>
  </cols>
  <sheetData>
    <row r="2" spans="1:10" x14ac:dyDescent="0.45">
      <c r="D2" t="s">
        <v>12</v>
      </c>
    </row>
    <row r="3" spans="1:10" x14ac:dyDescent="0.45">
      <c r="A3" t="s">
        <v>10</v>
      </c>
      <c r="B3" s="1">
        <v>1</v>
      </c>
      <c r="E3">
        <v>0</v>
      </c>
      <c r="F3">
        <v>1</v>
      </c>
      <c r="G3">
        <v>2</v>
      </c>
      <c r="H3">
        <v>3</v>
      </c>
      <c r="I3">
        <v>4</v>
      </c>
      <c r="J3">
        <v>5</v>
      </c>
    </row>
    <row r="5" spans="1:10" x14ac:dyDescent="0.45">
      <c r="A5" t="s">
        <v>0</v>
      </c>
      <c r="B5" s="1">
        <v>50</v>
      </c>
      <c r="E5">
        <f>B5</f>
        <v>50</v>
      </c>
      <c r="F5">
        <f>E5*$B$14</f>
        <v>81.615810997768946</v>
      </c>
      <c r="G5">
        <f>F5*$B$14</f>
        <v>133.22281209647085</v>
      </c>
      <c r="H5">
        <f>G5*$B$14</f>
        <v>217.46175705313701</v>
      </c>
      <c r="I5">
        <f>H5*$B$14</f>
        <v>354.96635325783154</v>
      </c>
      <c r="J5">
        <f>I5*$B$14</f>
        <v>579.41733596116933</v>
      </c>
    </row>
    <row r="6" spans="1:10" x14ac:dyDescent="0.45">
      <c r="A6" t="s">
        <v>1</v>
      </c>
      <c r="B6" s="1">
        <v>56</v>
      </c>
      <c r="F6">
        <f>E5*$B$15</f>
        <v>30.631319709220804</v>
      </c>
      <c r="G6">
        <f>F6*$B$14</f>
        <v>50</v>
      </c>
      <c r="H6">
        <f>G6*$B$14</f>
        <v>81.615810997768946</v>
      </c>
      <c r="I6">
        <f>H6*$B$14</f>
        <v>133.22281209647085</v>
      </c>
      <c r="J6">
        <f>I6*$B$14</f>
        <v>217.46175705313701</v>
      </c>
    </row>
    <row r="7" spans="1:10" x14ac:dyDescent="0.45">
      <c r="A7" t="s">
        <v>3</v>
      </c>
      <c r="B7" s="1">
        <v>1</v>
      </c>
      <c r="G7">
        <f>F6*$B$15</f>
        <v>18.765554942569977</v>
      </c>
      <c r="H7">
        <f>G7*$B$14</f>
        <v>30.631319709220804</v>
      </c>
      <c r="I7">
        <f t="shared" ref="I7:J8" si="0">H7*$B$14</f>
        <v>50</v>
      </c>
      <c r="J7">
        <f t="shared" si="0"/>
        <v>81.615810997768946</v>
      </c>
    </row>
    <row r="8" spans="1:10" x14ac:dyDescent="0.45">
      <c r="A8" t="s">
        <v>2</v>
      </c>
      <c r="B8" s="1">
        <v>0.01</v>
      </c>
      <c r="H8">
        <f>G7*$B$15</f>
        <v>11.496274259336193</v>
      </c>
      <c r="I8">
        <f>H8*$B$14</f>
        <v>18.765554942569977</v>
      </c>
      <c r="J8">
        <f t="shared" si="0"/>
        <v>30.631319709220804</v>
      </c>
    </row>
    <row r="9" spans="1:10" x14ac:dyDescent="0.45">
      <c r="A9" t="s">
        <v>4</v>
      </c>
      <c r="B9" s="1">
        <v>0</v>
      </c>
      <c r="I9">
        <f>H8*$B$15</f>
        <v>7.0429210460522507</v>
      </c>
      <c r="J9">
        <f>I9*$B$14</f>
        <v>11.496274259336193</v>
      </c>
    </row>
    <row r="10" spans="1:10" x14ac:dyDescent="0.45">
      <c r="A10" t="s">
        <v>9</v>
      </c>
      <c r="B10" s="1">
        <v>0.49</v>
      </c>
      <c r="J10">
        <f>I9*$B$15</f>
        <v>4.3146793249685267</v>
      </c>
    </row>
    <row r="12" spans="1:10" x14ac:dyDescent="0.45">
      <c r="A12" t="s">
        <v>11</v>
      </c>
      <c r="B12" s="1">
        <f>(MAX(B6-F5,0)*B16 + MAX(B6-F6, 0)*B17) / (1+B8)</f>
        <v>15.327965865356047</v>
      </c>
      <c r="D12" t="s">
        <v>13</v>
      </c>
    </row>
    <row r="14" spans="1:10" x14ac:dyDescent="0.45">
      <c r="A14" t="s">
        <v>5</v>
      </c>
      <c r="B14" s="1">
        <f>EXP(B10*(SQRT(B7/B3)))</f>
        <v>1.6323162199553789</v>
      </c>
    </row>
    <row r="15" spans="1:10" x14ac:dyDescent="0.45">
      <c r="A15" t="s">
        <v>6</v>
      </c>
      <c r="B15" s="1">
        <f xml:space="preserve"> 1/B14</f>
        <v>0.61262639418441611</v>
      </c>
    </row>
    <row r="16" spans="1:10" x14ac:dyDescent="0.45">
      <c r="A16" t="s">
        <v>7</v>
      </c>
      <c r="B16" s="1">
        <f>(EXP((B8-B9) * (B7/B3)) - B15) / (B14-B15)</f>
        <v>0.38974966980696246</v>
      </c>
    </row>
    <row r="17" spans="1:2" x14ac:dyDescent="0.45">
      <c r="A17" t="s">
        <v>8</v>
      </c>
      <c r="B17" s="1">
        <f>1 - B16</f>
        <v>0.61025033019303754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 Call</vt:lpstr>
      <vt:lpstr>EU 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Uong</dc:creator>
  <cp:lastModifiedBy>Guy Uong</cp:lastModifiedBy>
  <dcterms:created xsi:type="dcterms:W3CDTF">2023-04-12T22:55:04Z</dcterms:created>
  <dcterms:modified xsi:type="dcterms:W3CDTF">2023-04-13T22:38:43Z</dcterms:modified>
</cp:coreProperties>
</file>